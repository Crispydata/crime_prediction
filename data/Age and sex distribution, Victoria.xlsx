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14" documentId="8_{99C2A2CB-F203-4E4E-A57F-87BDB6FFDB6C}" xr6:coauthVersionLast="47" xr6:coauthVersionMax="47" xr10:uidLastSave="{0D7C75AB-0A27-41C4-B747-064AA6A571F6}"/>
  <bookViews>
    <workbookView xWindow="-24660" yWindow="3735" windowWidth="22860" windowHeight="123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</calcChain>
</file>

<file path=xl/sharedStrings.xml><?xml version="1.0" encoding="utf-8"?>
<sst xmlns="http://schemas.openxmlformats.org/spreadsheetml/2006/main" count="61" uniqueCount="57">
  <si>
    <t>Age and sex distribution, Victoria</t>
  </si>
  <si>
    <t>Age group (years)</t>
  </si>
  <si>
    <t>Melbourne (Males) (%)</t>
  </si>
  <si>
    <t>Rest of Vic (Males) (%)</t>
  </si>
  <si>
    <t>Melbourne (Females) (%)</t>
  </si>
  <si>
    <t>Rest of Vic (Females) (%)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</si>
  <si>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</si>
  <si>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</si>
  <si>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</si>
  <si>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</si>
  <si>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</si>
  <si>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</si>
  <si>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</si>
  <si>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</si>
  <si>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</si>
  <si>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</si>
  <si>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</si>
  <si>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</si>
  <si>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</si>
  <si>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</si>
  <si>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</si>
  <si>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</si>
  <si>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</si>
  <si>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</si>
  <si>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Source: Australian Bureau of Statistics, Regional population by age and sex 2024</t>
  </si>
  <si>
    <t>Calculating Average</t>
  </si>
  <si>
    <t>Male</t>
  </si>
  <si>
    <t>Female</t>
  </si>
  <si>
    <t>Males</t>
  </si>
  <si>
    <t>Females</t>
  </si>
  <si>
    <t>55 years and over</t>
  </si>
  <si>
    <t>can be removed</t>
  </si>
  <si>
    <t>0_4       7635</t>
  </si>
  <si>
    <t>50-54 years</t>
  </si>
  <si>
    <t>85ov      8937</t>
  </si>
  <si>
    <t>45-49 years</t>
  </si>
  <si>
    <t>5-9 can be removed</t>
  </si>
  <si>
    <t>5_14     14691</t>
  </si>
  <si>
    <t>40-44 years</t>
  </si>
  <si>
    <t>15-19 and 20-24</t>
  </si>
  <si>
    <t>15_24    16810</t>
  </si>
  <si>
    <t>35-39 years</t>
  </si>
  <si>
    <t>75_84    16973</t>
  </si>
  <si>
    <t>30-34 years</t>
  </si>
  <si>
    <t>65_74    23443</t>
  </si>
  <si>
    <t>25-29 years</t>
  </si>
  <si>
    <t>45-49, 50-54</t>
  </si>
  <si>
    <t>45_54    23521</t>
  </si>
  <si>
    <t>20-24 years</t>
  </si>
  <si>
    <t>55_64    24018</t>
  </si>
  <si>
    <t>18-19 years</t>
  </si>
  <si>
    <t>25-29, 30-34, 35-39, 40-44</t>
  </si>
  <si>
    <t>25_44    31122</t>
  </si>
  <si>
    <t>10-17 years</t>
  </si>
  <si>
    <t>Crime Data</t>
  </si>
  <si>
    <t>ABS Data</t>
  </si>
  <si>
    <t>Manipulation of data to match the age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</si>
</sst>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B1" workbookViewId="0">
      <selection activeCell="K2" sqref="K2"/>
    </sheetView>
  </sheetViews>
  <sheetFormatPr defaultRowHeight="15" x14ac:dyDescent="0.25"/>
  <cols>
    <col min="1" max="1" width="18" customWidth="1"/>
    <col min="2" max="2" width="22" customWidth="1"/>
    <col min="3" max="4" width="24" customWidth="1"/>
    <col min="5" max="5" width="26" customWidth="1"/>
  </cols>
  <sheetData>
    <row r="1" spans="1:17" s="1" customFormat="1" x14ac:dyDescent="0.25">
      <c r="A1" s="1" t="s">
        <v>0</v>
      </c>
      <c r="G1" s="1" t="s">
        <v>25</v>
      </c>
    </row>
    <row r="2" spans="1:1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1" t="s">
        <v>26</v>
      </c>
      <c r="H2" s="1" t="s">
        <v>27</v>
      </c>
      <c r="K2" t="s">
        <v>56</v>
      </c>
    </row>
    <row r="3" spans="1:17" x14ac:dyDescent="0.25">
      <c r="A3" s="1" t="s">
        <v>6</v>
      </c>
      <c r="B3" s="2">
        <v>2.88</v>
      </c>
      <c r="C3" s="2">
        <v>2.77</v>
      </c>
      <c r="D3" s="2">
        <v>2.75</v>
      </c>
      <c r="E3" s="2">
        <v>2.64</v>
      </c>
      <c r="G3" s="2">
        <f>AVERAGE(B3:C3)</f>
        <v>2.8250000000000002</v>
      </c>
      <c r="H3" s="2">
        <f>AVERAGE(D3:E3)</f>
        <v>2.6950000000000003</v>
      </c>
    </row>
    <row r="4" spans="1:17" x14ac:dyDescent="0.25">
      <c r="A4" s="1" t="s">
        <v>7</v>
      </c>
      <c r="B4" s="2">
        <v>3.05</v>
      </c>
      <c r="C4" s="2">
        <v>2.93</v>
      </c>
      <c r="D4" s="2">
        <v>2.89</v>
      </c>
      <c r="E4" s="2">
        <v>2.81</v>
      </c>
      <c r="G4" s="2">
        <f t="shared" ref="G4:G20" si="0">AVERAGE(B4:C4)</f>
        <v>2.99</v>
      </c>
      <c r="H4" s="2">
        <f t="shared" ref="H4:H20" si="1">AVERAGE(D4:E4)</f>
        <v>2.85</v>
      </c>
    </row>
    <row r="5" spans="1:17" x14ac:dyDescent="0.25">
      <c r="A5" s="1" t="s">
        <v>8</v>
      </c>
      <c r="B5" s="2">
        <v>3.04</v>
      </c>
      <c r="C5" s="2">
        <v>3.14</v>
      </c>
      <c r="D5" s="2">
        <v>2.89</v>
      </c>
      <c r="E5" s="2">
        <v>2.95</v>
      </c>
      <c r="G5" s="2">
        <f t="shared" si="0"/>
        <v>3.09</v>
      </c>
      <c r="H5" s="2">
        <f t="shared" si="1"/>
        <v>2.92</v>
      </c>
      <c r="K5" s="6" t="s">
        <v>54</v>
      </c>
      <c r="L5" s="1"/>
      <c r="M5" s="6" t="s">
        <v>55</v>
      </c>
      <c r="N5" s="1"/>
      <c r="O5" s="1"/>
      <c r="P5" s="1"/>
      <c r="Q5" s="1"/>
    </row>
    <row r="6" spans="1:17" x14ac:dyDescent="0.25">
      <c r="A6" s="1" t="s">
        <v>9</v>
      </c>
      <c r="B6" s="2">
        <v>3.04</v>
      </c>
      <c r="C6" s="2">
        <v>3.14</v>
      </c>
      <c r="D6" s="2">
        <v>2.9</v>
      </c>
      <c r="E6" s="2">
        <v>2.96</v>
      </c>
      <c r="G6" s="2">
        <f t="shared" si="0"/>
        <v>3.09</v>
      </c>
      <c r="H6" s="2">
        <f t="shared" si="1"/>
        <v>2.9299999999999997</v>
      </c>
      <c r="K6" s="5" t="s">
        <v>53</v>
      </c>
      <c r="M6" t="s">
        <v>52</v>
      </c>
      <c r="O6" t="s">
        <v>51</v>
      </c>
    </row>
    <row r="7" spans="1:17" x14ac:dyDescent="0.25">
      <c r="A7" s="1" t="s">
        <v>10</v>
      </c>
      <c r="B7" s="2">
        <v>3.74</v>
      </c>
      <c r="C7" s="2">
        <v>2.72</v>
      </c>
      <c r="D7" s="2">
        <v>3.52</v>
      </c>
      <c r="E7" s="2">
        <v>2.48</v>
      </c>
      <c r="G7" s="2">
        <f t="shared" si="0"/>
        <v>3.2300000000000004</v>
      </c>
      <c r="H7" s="2">
        <f t="shared" si="1"/>
        <v>3</v>
      </c>
      <c r="K7" s="5" t="s">
        <v>50</v>
      </c>
      <c r="M7" t="s">
        <v>49</v>
      </c>
      <c r="O7" t="s">
        <v>30</v>
      </c>
    </row>
    <row r="8" spans="1:17" x14ac:dyDescent="0.25">
      <c r="A8" s="1" t="s">
        <v>11</v>
      </c>
      <c r="B8" s="2">
        <v>4.21</v>
      </c>
      <c r="C8" s="2">
        <v>2.81</v>
      </c>
      <c r="D8" s="2">
        <v>4.08</v>
      </c>
      <c r="E8" s="2">
        <v>2.69</v>
      </c>
      <c r="G8" s="2">
        <f t="shared" si="0"/>
        <v>3.51</v>
      </c>
      <c r="H8" s="2">
        <f t="shared" si="1"/>
        <v>3.3849999999999998</v>
      </c>
      <c r="K8" s="5" t="s">
        <v>48</v>
      </c>
      <c r="M8" t="s">
        <v>47</v>
      </c>
      <c r="O8" t="s">
        <v>46</v>
      </c>
    </row>
    <row r="9" spans="1:17" x14ac:dyDescent="0.25">
      <c r="A9" s="1" t="s">
        <v>12</v>
      </c>
      <c r="B9" s="2">
        <v>4.17</v>
      </c>
      <c r="C9" s="2">
        <v>2.99</v>
      </c>
      <c r="D9" s="2">
        <v>4.25</v>
      </c>
      <c r="E9" s="2">
        <v>3.08</v>
      </c>
      <c r="G9" s="2">
        <f t="shared" si="0"/>
        <v>3.58</v>
      </c>
      <c r="H9" s="2">
        <f t="shared" si="1"/>
        <v>3.665</v>
      </c>
      <c r="K9" s="4" t="s">
        <v>45</v>
      </c>
      <c r="M9" t="s">
        <v>44</v>
      </c>
      <c r="O9" t="s">
        <v>30</v>
      </c>
    </row>
    <row r="10" spans="1:17" x14ac:dyDescent="0.25">
      <c r="A10" s="1" t="s">
        <v>13</v>
      </c>
      <c r="B10" s="2">
        <v>4.05</v>
      </c>
      <c r="C10" s="2">
        <v>2.98</v>
      </c>
      <c r="D10" s="2">
        <v>4.08</v>
      </c>
      <c r="E10" s="2">
        <v>3.13</v>
      </c>
      <c r="G10" s="2">
        <f t="shared" si="0"/>
        <v>3.5149999999999997</v>
      </c>
      <c r="H10" s="2">
        <f t="shared" si="1"/>
        <v>3.605</v>
      </c>
      <c r="K10" s="4" t="s">
        <v>43</v>
      </c>
      <c r="M10" t="s">
        <v>42</v>
      </c>
      <c r="O10" t="s">
        <v>30</v>
      </c>
    </row>
    <row r="11" spans="1:17" x14ac:dyDescent="0.25">
      <c r="A11" s="1" t="s">
        <v>14</v>
      </c>
      <c r="B11" s="2">
        <v>3.65</v>
      </c>
      <c r="C11" s="2">
        <v>2.82</v>
      </c>
      <c r="D11" s="2">
        <v>3.65</v>
      </c>
      <c r="E11" s="2">
        <v>3.01</v>
      </c>
      <c r="G11" s="2">
        <f t="shared" si="0"/>
        <v>3.2349999999999999</v>
      </c>
      <c r="H11" s="2">
        <f t="shared" si="1"/>
        <v>3.33</v>
      </c>
      <c r="K11" s="4" t="s">
        <v>41</v>
      </c>
      <c r="M11" t="s">
        <v>40</v>
      </c>
      <c r="O11" t="s">
        <v>39</v>
      </c>
    </row>
    <row r="12" spans="1:17" x14ac:dyDescent="0.25">
      <c r="A12" s="1" t="s">
        <v>15</v>
      </c>
      <c r="B12" s="2">
        <v>3.01</v>
      </c>
      <c r="C12" s="2">
        <v>2.75</v>
      </c>
      <c r="D12" s="2">
        <v>3.07</v>
      </c>
      <c r="E12" s="2">
        <v>2.89</v>
      </c>
      <c r="G12" s="2">
        <f t="shared" si="0"/>
        <v>2.88</v>
      </c>
      <c r="H12" s="2">
        <f t="shared" si="1"/>
        <v>2.98</v>
      </c>
      <c r="K12" s="4" t="s">
        <v>38</v>
      </c>
      <c r="M12" t="s">
        <v>37</v>
      </c>
      <c r="O12" t="s">
        <v>36</v>
      </c>
    </row>
    <row r="13" spans="1:17" x14ac:dyDescent="0.25">
      <c r="A13" s="1" t="s">
        <v>16</v>
      </c>
      <c r="B13" s="2">
        <v>2.95</v>
      </c>
      <c r="C13" s="2">
        <v>3.06</v>
      </c>
      <c r="D13" s="2">
        <v>3.11</v>
      </c>
      <c r="E13" s="2">
        <v>3.21</v>
      </c>
      <c r="G13" s="2">
        <f t="shared" si="0"/>
        <v>3.0049999999999999</v>
      </c>
      <c r="H13" s="2">
        <f t="shared" si="1"/>
        <v>3.16</v>
      </c>
      <c r="K13" s="4" t="s">
        <v>35</v>
      </c>
      <c r="M13" t="s">
        <v>34</v>
      </c>
      <c r="O13" t="s">
        <v>30</v>
      </c>
    </row>
    <row r="14" spans="1:17" x14ac:dyDescent="0.25">
      <c r="A14" s="1" t="s">
        <v>17</v>
      </c>
      <c r="B14" s="2">
        <v>2.6</v>
      </c>
      <c r="C14" s="2">
        <v>3</v>
      </c>
      <c r="D14" s="2">
        <v>2.73</v>
      </c>
      <c r="E14" s="2">
        <v>3.2</v>
      </c>
      <c r="G14" s="2">
        <f t="shared" si="0"/>
        <v>2.8</v>
      </c>
      <c r="H14" s="2">
        <f t="shared" si="1"/>
        <v>2.9649999999999999</v>
      </c>
      <c r="K14" s="4" t="s">
        <v>33</v>
      </c>
      <c r="M14" t="s">
        <v>32</v>
      </c>
      <c r="O14" t="s">
        <v>31</v>
      </c>
    </row>
    <row r="15" spans="1:17" x14ac:dyDescent="0.25">
      <c r="A15" s="1" t="s">
        <v>18</v>
      </c>
      <c r="B15" s="2">
        <v>2.39</v>
      </c>
      <c r="C15" s="2">
        <v>3.29</v>
      </c>
      <c r="D15" s="2">
        <v>2.56</v>
      </c>
      <c r="E15" s="2">
        <v>3.55</v>
      </c>
      <c r="G15" s="2">
        <f t="shared" si="0"/>
        <v>2.84</v>
      </c>
      <c r="H15" s="2">
        <f t="shared" si="1"/>
        <v>3.0549999999999997</v>
      </c>
      <c r="K15" t="s">
        <v>30</v>
      </c>
    </row>
    <row r="16" spans="1:17" x14ac:dyDescent="0.25">
      <c r="A16" s="1" t="s">
        <v>19</v>
      </c>
      <c r="B16" s="2">
        <v>2.0099999999999998</v>
      </c>
      <c r="C16" s="2">
        <v>3.21</v>
      </c>
      <c r="D16" s="2">
        <v>2.2400000000000002</v>
      </c>
      <c r="E16" s="2">
        <v>3.4</v>
      </c>
      <c r="G16" s="2">
        <f t="shared" si="0"/>
        <v>2.61</v>
      </c>
      <c r="H16" s="2">
        <f t="shared" si="1"/>
        <v>2.8200000000000003</v>
      </c>
      <c r="K16" t="s">
        <v>29</v>
      </c>
    </row>
    <row r="17" spans="1:11" x14ac:dyDescent="0.25">
      <c r="A17" s="1" t="s">
        <v>20</v>
      </c>
      <c r="B17" s="2">
        <v>1.64</v>
      </c>
      <c r="C17" s="2">
        <v>2.91</v>
      </c>
      <c r="D17" s="2">
        <v>1.92</v>
      </c>
      <c r="E17" s="2">
        <v>3.04</v>
      </c>
      <c r="G17" s="2">
        <f t="shared" si="0"/>
        <v>2.2749999999999999</v>
      </c>
      <c r="H17" s="2">
        <f t="shared" si="1"/>
        <v>2.48</v>
      </c>
      <c r="K17" t="s">
        <v>28</v>
      </c>
    </row>
    <row r="18" spans="1:11" x14ac:dyDescent="0.25">
      <c r="A18" s="1" t="s">
        <v>21</v>
      </c>
      <c r="B18" s="2">
        <v>1.38</v>
      </c>
      <c r="C18" s="2">
        <v>2.35</v>
      </c>
      <c r="D18" s="2">
        <v>1.61</v>
      </c>
      <c r="E18" s="2">
        <v>2.4500000000000002</v>
      </c>
      <c r="G18" s="2">
        <f t="shared" si="0"/>
        <v>1.865</v>
      </c>
      <c r="H18" s="2">
        <f t="shared" si="1"/>
        <v>2.0300000000000002</v>
      </c>
    </row>
    <row r="19" spans="1:11" x14ac:dyDescent="0.25">
      <c r="A19" s="1" t="s">
        <v>22</v>
      </c>
      <c r="B19" s="2">
        <v>0.88</v>
      </c>
      <c r="C19" s="2">
        <v>1.39</v>
      </c>
      <c r="D19" s="2">
        <v>1.08</v>
      </c>
      <c r="E19" s="2">
        <v>1.56</v>
      </c>
      <c r="G19" s="2">
        <f t="shared" si="0"/>
        <v>1.135</v>
      </c>
      <c r="H19" s="2">
        <f t="shared" si="1"/>
        <v>1.32</v>
      </c>
    </row>
    <row r="20" spans="1:11" x14ac:dyDescent="0.25">
      <c r="A20" s="1" t="s">
        <v>23</v>
      </c>
      <c r="B20" s="2">
        <v>0.79</v>
      </c>
      <c r="C20" s="2">
        <v>1.1000000000000001</v>
      </c>
      <c r="D20" s="2">
        <v>1.21</v>
      </c>
      <c r="E20" s="2">
        <v>1.61</v>
      </c>
      <c r="G20" s="2">
        <f t="shared" si="0"/>
        <v>0.94500000000000006</v>
      </c>
      <c r="H20" s="2">
        <f t="shared" si="1"/>
        <v>1.4100000000000001</v>
      </c>
    </row>
    <row r="21" spans="1:11" x14ac:dyDescent="0.25">
      <c r="G21" s="2">
        <f>AVERAGE(G3:G20)</f>
        <v>2.7455555555555549</v>
      </c>
      <c r="H21" s="2">
        <f>AVERAGE(H3:H20)</f>
        <v>2.8111111111111109</v>
      </c>
    </row>
    <row r="22" spans="1:11" s="3" customFormat="1" x14ac:dyDescent="0.25">
      <c r="A22" s="3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2025-11-09T02:25:16Z</dcterms:created>
  <dcterms:modified xsi:type="dcterms:W3CDTF">2025-11-09T04:55:39Z</dcterms:modified>
</cp:coreProperties>
</file>